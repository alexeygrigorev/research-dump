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6874025f4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c694ca3bf03b458d"/>
    <x:sheet xmlns:r="http://schemas.openxmlformats.org/officeDocument/2006/relationships" name="Конференции" sheetId="2" r:id="Rfa4be30d3044407c"/>
    <x:sheet xmlns:r="http://schemas.openxmlformats.org/officeDocument/2006/relationships" name="Темы докладов" sheetId="3" r:id="R0eed015a30f543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0"/>
    <x:numFmt numFmtId="202" formatCode="yyyy-mm-dd"/>
  </x:numFmts>
  <x:fonts count="9">
    <x:font>
      <x:sz val="11"/>
      <x:name val="Carlito"/>
    </x:font>
    <x:font>
      <x:sz val="10"/>
      <x:color rgb="FF172C45"/>
      <x:name val="Arial"/>
    </x:font>
    <x:font>
      <x:b/>
      <x:sz val="17"/>
      <x:color rgb="FFFFFFFF"/>
      <x:name val="Arial"/>
    </x:font>
    <x:font>
      <x:sz val="10"/>
      <x:color rgb="FF536578"/>
      <x:name val="Arial"/>
    </x:font>
    <x:font>
      <x:b/>
      <x:sz val="10"/>
      <x:color rgb="FFFFFFFF"/>
      <x:name val="Arial"/>
    </x:font>
    <x:font>
      <x:sz val="9"/>
      <x:color rgb="FF146B73"/>
      <x:name val="Arial"/>
    </x:font>
    <x:font>
      <x:b/>
      <x:sz val="9"/>
      <x:color rgb="FFFFFFFF"/>
      <x:name val="Arial"/>
    </x:font>
    <x:font>
      <x:b/>
      <x:sz val="28"/>
      <x:color rgb="FF172C45"/>
      <x:name val="Arial"/>
    </x:font>
    <x:font>
      <x:b/>
      <x:sz val="10"/>
      <x:color rgb="FF146B7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2C45"/>
      </x:patternFill>
    </x:fill>
    <x:fill>
      <x:patternFill patternType="solid">
        <x:fgColor rgb="FFEDF5F7"/>
      </x:patternFill>
    </x:fill>
    <x:fill>
      <x:patternFill patternType="solid">
        <x:fgColor rgb="FF146B73"/>
      </x:patternFill>
    </x:fill>
    <x:fill>
      <x:patternFill patternType="solid">
        <x:fgColor rgb="FFF2F6FF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2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145C42"/>
      </x:font>
      <x:fill>
        <x:patternFill patternType="solid">
          <x:bgColor rgb="FFDDF3E8"/>
        </x:patternFill>
      </x:fill>
    </x:dxf>
    <x:dxf>
      <x:font>
        <x:color rgb="FF795000"/>
      </x:font>
      <x:fill>
        <x:patternFill patternType="solid">
          <x:bgColor rgb="FFFFF0CD"/>
        </x:patternFill>
      </x:fill>
    </x:dxf>
    <x:dxf>
      <x:fill>
        <x:patternFill patternType="solid">
          <x:bgColor rgb="FFDDF3E8"/>
        </x:patternFill>
      </x:fill>
    </x:dxf>
    <x:dxf>
      <x:fill>
        <x:patternFill patternType="solid">
          <x:bgColor rgb="FFE1EA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7c4e6beecf4e1d" /><Relationship Type="http://schemas.openxmlformats.org/officeDocument/2006/relationships/theme" Target="/xl/theme/theme1.xml" Id="R1ec23e243c6149fa" /><Relationship Type="http://schemas.openxmlformats.org/officeDocument/2006/relationships/sharedStrings" Target="/xl/sharedStrings.xml" Id="R5c14195623364de4" /><Relationship Type="http://schemas.openxmlformats.org/officeDocument/2006/relationships/worksheet" Target="/xl/worksheets/sheet1.xml" Id="Rc694ca3bf03b458d" /><Relationship Type="http://schemas.openxmlformats.org/officeDocument/2006/relationships/worksheet" Target="/xl/worksheets/sheet2.xml" Id="Rfa4be30d3044407c" /><Relationship Type="http://schemas.openxmlformats.org/officeDocument/2006/relationships/worksheet" Target="/xl/worksheets/sheet3.xml" Id="R0eed015a30f54368" /></Relationships>
</file>

<file path=xl/tables/table1.xml><?xml version="1.0" encoding="utf-8"?>
<x:table xmlns:x="http://schemas.openxmlformats.org/spreadsheetml/2006/main" id="1" name="ConferencePlan" displayName="ConferencePlan" ref="A4:N18" headerRowCount="1" totalsRowCount="0" totalsRowShown="0">
  <x:tableColumns count="14">
    <x:tableColumn id="1" name="Приоритет"/>
    <x:tableColumn id="2" name="Конференция"/>
    <x:tableColumn id="3" name="Город"/>
    <x:tableColumn id="4" name="Начало"/>
    <x:tableColumn id="5" name="Конец"/>
    <x:tableColumn id="6" name="Статус CFP"/>
    <x:tableColumn id="7" name="Дедлайн CFP"/>
    <x:tableColumn id="8" name="Дней от проверки"/>
    <x:tableColumn id="9" name="Темы"/>
    <x:tableColumn id="10" name="Ваш статус"/>
    <x:tableColumn id="11" name="Следующее действие"/>
    <x:tableColumn id="12" name="Ограничения / проверка"/>
    <x:tableColumn id="13" name="Официальный сайт"/>
    <x:tableColumn id="14" name="Заявка / контакт / CF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lkConcepts" displayName="TalkConcepts" ref="A4:H7" headerRowCount="1" totalsRowCount="0" totalsRowShown="0">
  <x:tableColumns count="8">
    <x:tableColumn id="1" name="ID"/>
    <x:tableColumn id="2" name="Название для заявки"/>
    <x:tableColumn id="3" name="Кому полезно"/>
    <x:tableColumn id="4" name="Что показать"/>
    <x:tableColumn id="5" name="Практический результат"/>
    <x:tableColumn id="6" name="Формат"/>
    <x:tableColumn id="7" name="Площадки"/>
    <x:tableColumn id="8" name="Естественный следующий проек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633dd6165747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966275bb1e4be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6" customHeight="1">
      <x:c r="A1" s="20" t="str">
        <x:v>КОНФЕРЕНЦИИ → КОРПОРАТИВНЫЕ ПРОЕКТЫ</x:v>
      </x:c>
      <x:c r="B1" s="20"/>
      <x:c r="C1" s="20"/>
      <x:c r="D1" s="20"/>
      <x:c r="E1" s="20"/>
      <x:c r="F1" s="20"/>
      <x:c r="G1" s="20"/>
      <x:c r="H1" s="20"/>
    </x:row>
    <x:row r="2" ht="32" customHeight="1">
      <x:c r="A2" s="26" t="str">
        <x:v>Алексей Григорьев • Берлин и Германия • рабочий план подачи докладов</x:v>
      </x:c>
      <x:c r="B2" s="26"/>
      <x:c r="C2" s="26"/>
      <x:c r="D2" s="26"/>
      <x:c r="E2" s="26"/>
      <x:c r="F2" s="26"/>
      <x:c r="G2" s="26"/>
      <x:c r="H2" s="26"/>
    </x:row>
    <x:row r="3" ht="27" customHeight="1">
      <x:c r="A3" s="14" t="str">
        <x:v>Дата проверки</x:v>
      </x:c>
      <x:c r="B3" s="60" t="n">
        <x:v>46288</x:v>
      </x:c>
      <x:c r="C3" s="14"/>
      <x:c r="D3" s="14"/>
      <x:c r="E3" s="14"/>
      <x:c r="F3" s="14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 ht="31" customHeight="1">
      <x:c r="A5" s="47" t="str">
        <x:v>ПЛОЩАДОК</x:v>
      </x:c>
      <x:c r="B5" s="47"/>
      <x:c r="C5" s="14"/>
      <x:c r="D5" s="47" t="str">
        <x:v>ОТКРЫТЫЕ НАБОРЫ</x:v>
      </x:c>
      <x:c r="E5" s="47"/>
      <x:c r="F5" s="14"/>
      <x:c r="G5" s="47" t="str">
        <x:v>С ПУБЛИЧНЫМ ДЕДЛАЙНОМ</x:v>
      </x:c>
      <x:c r="H5" s="47"/>
    </x:row>
    <x:row r="6">
      <x:c r="A6" s="51" t="n">
        <x:f>COUNTA('Конференции'!B5:B18)</x:f>
        <x:v>14</x:v>
      </x:c>
      <x:c r="B6" s="51"/>
      <x:c r="C6" s="14"/>
      <x:c r="D6" s="51" t="n">
        <x:f>COUNTIF('Конференции'!F5:F18,"Открыт")</x:f>
        <x:v>3</x:v>
      </x:c>
      <x:c r="E6" s="51"/>
      <x:c r="F6" s="14"/>
      <x:c r="G6" s="51" t="n">
        <x:f>COUNT('Конференции'!G5:G18)</x:f>
        <x:v>2</x:v>
      </x:c>
      <x:c r="H6" s="51"/>
    </x:row>
    <x:row r="7">
      <x:c r="A7" s="51"/>
      <x:c r="B7" s="51"/>
      <x:c r="C7" s="14"/>
      <x:c r="D7" s="51"/>
      <x:c r="E7" s="51"/>
      <x:c r="F7" s="14"/>
      <x:c r="G7" s="51"/>
      <x:c r="H7" s="51"/>
    </x:row>
    <x:row r="8">
      <x:c r="A8" s="14"/>
      <x:c r="B8" s="14"/>
      <x:c r="C8" s="14"/>
      <x:c r="D8" s="14"/>
      <x:c r="E8" s="14"/>
      <x:c r="F8" s="14"/>
      <x:c r="G8" s="14"/>
      <x:c r="H8" s="14"/>
    </x:row>
    <x:row r="9" ht="26" customHeight="1">
      <x:c r="A9" s="55" t="str">
        <x:v>С ЧЕГО НАЧАТЬ</x:v>
      </x:c>
      <x:c r="B9" s="55"/>
      <x:c r="C9" s="55"/>
      <x:c r="D9" s="55"/>
      <x:c r="E9" s="55"/>
      <x:c r="F9" s="55"/>
      <x:c r="G9" s="55"/>
      <x:c r="H9" s="55"/>
    </x:row>
    <x:row r="10" ht="56" customHeight="1">
      <x:c r="A10" s="58" t="str">
        <x:v>Сейчас</x:v>
      </x:c>
      <x:c r="B10" s="58"/>
      <x:c r="C10" s="14" t="str">
        <x:v>Rise of AI и Big Data &amp; AI World: подготовить и отправить заявки. GenAI Berlin: срочно уточнить оставшиеся форматы.</x:v>
      </x:c>
      <x:c r="D10" s="14"/>
      <x:c r="E10" s="14"/>
      <x:c r="F10" s="14"/>
      <x:c r="G10" s="14"/>
      <x:c r="H10" s="14"/>
    </x:row>
    <x:row r="11" ht="56" customHeight="1">
      <x:c r="A11" s="58" t="str">
        <x:v>Далее</x:v>
      </x:c>
      <x:c r="B11" s="58"/>
      <x:c r="C11" s="14" t="str">
        <x:v>TRANSFORM и AI.SUMMIT Hamburg: обратиться к программной команде, не в отдел спонсорства.</x:v>
      </x:c>
      <x:c r="D11" s="14"/>
      <x:c r="E11" s="14"/>
      <x:c r="F11" s="14"/>
      <x:c r="G11" s="14"/>
      <x:c r="H11" s="14"/>
    </x:row>
    <x:row r="12" ht="56" customHeight="1">
      <x:c r="A12" s="58" t="str">
        <x:v>17.11.2026</x:v>
      </x:c>
      <x:c r="B12" s="58"/>
      <x:c r="C12" s="14" t="str">
        <x:v>Data Week Leipzig: крайний срок предложений своих воркшопов/мероприятий; заранее оценить билет и привлечение аудитории.</x:v>
      </x:c>
      <x:c r="D12" s="14"/>
      <x:c r="E12" s="14"/>
      <x:c r="F12" s="14"/>
      <x:c r="G12" s="14"/>
      <x:c r="H12" s="14"/>
    </x:row>
    <x:row r="13" ht="56" customHeight="1">
      <x:c r="A13" s="58" t="str">
        <x:v>23.11.2026</x:v>
      </x:c>
      <x:c r="B13" s="58"/>
      <x:c r="C13" s="14" t="str">
        <x:v>M3: опубликованный срок формы. До подачи подтвердить даты следующей конференции: на сайте смешаны 2026 и 2027.</x:v>
      </x:c>
      <x:c r="D13" s="14"/>
      <x:c r="E13" s="14"/>
      <x:c r="F13" s="14"/>
      <x:c r="G13" s="14"/>
      <x:c r="H13" s="14"/>
    </x:row>
    <x:row r="14" ht="56" customHeight="1">
      <x:c r="A14" s="58" t="str">
        <x:v>Наблюдать</x:v>
      </x:c>
      <x:c r="B14" s="58"/>
      <x:c r="C14" s="14" t="str">
        <x:v>WeAreDevelopers, AIDAQ, GITEX и Berlin Buzzwords: нужен подтверждённый новый CFP; старые ссылки не означают открытый набор.</x:v>
      </x:c>
      <x:c r="D14" s="14"/>
      <x:c r="E14" s="14"/>
      <x:c r="F14" s="14"/>
      <x:c r="G14" s="14"/>
      <x:c r="H14" s="14"/>
    </x:row>
    <x:row r="15">
      <x:c r="A15" s="14"/>
      <x:c r="B15" s="14"/>
      <x:c r="C15" s="14"/>
      <x:c r="D15" s="14"/>
      <x:c r="E15" s="14"/>
      <x:c r="F15" s="14"/>
      <x:c r="G15" s="14"/>
      <x:c r="H15" s="14"/>
    </x:row>
    <x:row r="16" ht="26" customHeight="1">
      <x:c r="A16" s="55" t="str">
        <x:v>КАК ПОЛЬЗОВАТЬСЯ</x:v>
      </x:c>
      <x:c r="B16" s="55"/>
      <x:c r="C16" s="55"/>
      <x:c r="D16" s="55"/>
      <x:c r="E16" s="55"/>
      <x:c r="F16" s="55"/>
      <x:c r="G16" s="55"/>
      <x:c r="H16" s="55"/>
    </x:row>
    <x:row r="17" ht="45" customHeight="1">
      <x:c r="A17" s="14" t="str">
        <x:v>Лист «Конференции»: фильтруйте город и статус CFP; меняйте только «Ваш статус» и приоритет. Условия проверены на указанную дату, не обновляются автоматически.</x:v>
      </x:c>
      <x:c r="B17" s="14"/>
      <x:c r="C17" s="14"/>
      <x:c r="D17" s="14"/>
      <x:c r="E17" s="14"/>
      <x:c r="F17" s="14"/>
      <x:c r="G17" s="14"/>
      <x:c r="H17" s="14"/>
    </x:row>
    <x:row r="18" ht="45" customHeight="1">
      <x:c r="A18" s="14" t="str">
        <x:v>«Открыт» означает, что официальный сайт прямо приглашает заявки на нужный выпуск. Наличие страницы заявки и личный запрос выделены отдельно.</x:v>
      </x:c>
      <x:c r="B18" s="14"/>
      <x:c r="C18" s="14"/>
      <x:c r="D18" s="14"/>
      <x:c r="E18" s="14"/>
      <x:c r="F18" s="14"/>
      <x:c r="G18" s="14"/>
      <x:c r="H18" s="14"/>
    </x:row>
    <x:row r="19" ht="45" customHeight="1">
      <x:c r="A19" s="14" t="str">
        <x:v>Дни до дедлайна рассчитаны от даты проверки, не от текущего дня. Два дедлайна включают M3 с оговоркой о несогласованных датах выпуска.</x:v>
      </x:c>
      <x:c r="B19" s="14"/>
      <x:c r="C19" s="14"/>
      <x:c r="D19" s="14"/>
      <x:c r="E19" s="14"/>
      <x:c r="F19" s="14"/>
      <x:c r="G19" s="14"/>
      <x:c r="H19" s="14"/>
    </x:row>
    <x:row r="20" ht="45" customHeight="1">
      <x:c r="A20" s="14" t="str">
        <x:v>Темы T1–T3 на отдельном листе — предложения докладов, а не описание уже проведённых корпоративных проектов. Реальные результаты и цифры добавляйте только при наличии доказательств.</x:v>
      </x:c>
      <x:c r="B20" s="14"/>
      <x:c r="C20" s="14"/>
      <x:c r="D20" s="14"/>
      <x:c r="E20" s="14"/>
      <x:c r="F20" s="14"/>
      <x:c r="G20" s="14"/>
      <x:c r="H20" s="14"/>
    </x:row>
    <x:row r="21" ht="45" customHeight="1">
      <x:c r="A21" s="14" t="str">
        <x:v>Приоритет A — в первую очередь для бизнес-заказчиков; B — второй круг или сильная инженерная аудитория; C — дополнительный вариант. Оценки не предсказывают размер контрактов.</x:v>
      </x:c>
      <x:c r="B21" s="14"/>
      <x:c r="C21" s="14"/>
      <x:c r="D21" s="14"/>
      <x:c r="E21" s="14"/>
      <x:c r="F21" s="14"/>
      <x:c r="G21" s="14"/>
      <x:c r="H21" s="14"/>
    </x:row>
    <x:row r="22" ht="45" customHeight="1">
      <x:c r="A22" s="14" t="str">
        <x:v>Для репетиции: PyData Berlin принимает предложения для митапа через форму на https://berlin.pydata.org/ . Это отдельный формат, не подтверждённый CFP новой конференции.</x:v>
      </x:c>
      <x:c r="B22" s="14"/>
      <x:c r="C22" s="14"/>
      <x:c r="D22" s="14"/>
      <x:c r="E22" s="14"/>
      <x:c r="F22" s="14"/>
      <x:c r="G22" s="14"/>
      <x:c r="H22" s="14"/>
    </x:row>
    <x:row r="23" ht="45" customHeight="1">
      <x:c r="A23" s="14" t="str">
        <x:v>Основа профиля: https://alexeygrigorev.com/services/training.html и https://alexeygrigorev.com/services/consulting.html . Связь профиля с вами предполагается по имени, Берлину и указанной деятельности.</x:v>
      </x:c>
      <x:c r="B23" s="14"/>
      <x:c r="C23" s="14"/>
      <x:c r="D23" s="14"/>
      <x:c r="E23" s="14"/>
      <x:c r="F23" s="14"/>
      <x:c r="G23" s="14"/>
      <x:c r="H23" s="14"/>
    </x:row>
  </x:sheetData>
  <x:mergeCells>
    <x:mergeCell ref="A1:H1"/>
    <x:mergeCell ref="A2:H2"/>
    <x:mergeCell ref="A5:B5"/>
    <x:mergeCell ref="D5:E5"/>
    <x:mergeCell ref="G5:H5"/>
    <x:mergeCell ref="A6:B7"/>
    <x:mergeCell ref="D6:E7"/>
    <x:mergeCell ref="G6:H7"/>
    <x:mergeCell ref="A9:H9"/>
    <x:mergeCell ref="A10:B10"/>
    <x:mergeCell ref="C10:H10"/>
    <x:mergeCell ref="A11:B11"/>
    <x:mergeCell ref="C11:H11"/>
    <x:mergeCell ref="A12:B12"/>
    <x:mergeCell ref="C12:H12"/>
    <x:mergeCell ref="A13:B13"/>
    <x:mergeCell ref="C13:H13"/>
    <x:mergeCell ref="A14:B14"/>
    <x:mergeCell ref="C14:H14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9" hidden="0" customWidth="1"/>
    <x:col min="3" max="3" width="15" hidden="0" customWidth="1"/>
    <x:col min="4" max="4" width="13" hidden="0" customWidth="1"/>
    <x:col min="5" max="5" width="13" hidden="0" customWidth="1"/>
    <x:col min="6" max="6" width="22" hidden="0" customWidth="1"/>
    <x:col min="7" max="7" width="14" hidden="0" customWidth="1"/>
    <x:col min="8" max="8" width="12" hidden="0" customWidth="1"/>
    <x:col min="9" max="9" width="12" hidden="0" customWidth="1"/>
    <x:col min="10" max="10" width="20" hidden="0" customWidth="1"/>
    <x:col min="11" max="11" width="40" hidden="0" customWidth="1"/>
    <x:col min="12" max="12" width="40" hidden="0" customWidth="1"/>
    <x:col min="13" max="13" width="35" hidden="0" customWidth="1"/>
    <x:col min="14" max="14" width="35" hidden="0" customWidth="1"/>
  </x:cols>
  <x:sheetData>
    <x:row r="1" ht="36" customHeight="1">
      <x:c r="A1" s="20" t="str">
        <x:v>КОНФЕРЕНЦИИ • AI-КОНСАЛТИНГ И КОРПОРАТИВНОЕ ОБУЧЕНИЕ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ht="32" customHeight="1">
      <x:c r="A2" s="26" t="str">
        <x:v>Проверено 23.09.2026. Приоритет — оценка соответствия цели, не прогноз продаж. Пустая дата означает «не подтверждена».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</x:row>
    <x:row r="4" ht="36" customHeight="1">
      <x:c r="A4" s="38" t="str">
        <x:v>Приоритет</x:v>
      </x:c>
      <x:c r="B4" s="38" t="str">
        <x:v>Конференция</x:v>
      </x:c>
      <x:c r="C4" s="38" t="str">
        <x:v>Город</x:v>
      </x:c>
      <x:c r="D4" s="38" t="str">
        <x:v>Начало</x:v>
      </x:c>
      <x:c r="E4" s="38" t="str">
        <x:v>Конец</x:v>
      </x:c>
      <x:c r="F4" s="38" t="str">
        <x:v>Статус CFP</x:v>
      </x:c>
      <x:c r="G4" s="38" t="str">
        <x:v>Дедлайн CFP</x:v>
      </x:c>
      <x:c r="H4" s="38" t="str">
        <x:v>Дней от проверки</x:v>
      </x:c>
      <x:c r="I4" s="38" t="str">
        <x:v>Темы</x:v>
      </x:c>
      <x:c r="J4" s="38" t="str">
        <x:v>Ваш статус</x:v>
      </x:c>
      <x:c r="K4" s="38" t="str">
        <x:v>Следующее действие</x:v>
      </x:c>
      <x:c r="L4" s="38" t="str">
        <x:v>Ограничения / проверка</x:v>
      </x:c>
      <x:c r="M4" s="38" t="str">
        <x:v>Официальный сайт</x:v>
      </x:c>
      <x:c r="N4" s="38" t="str">
        <x:v>Заявка / контакт / CFP</x:v>
      </x:c>
    </x:row>
    <x:row r="5" ht="112" customHeight="1">
      <x:c r="A5" s="14" t="str">
        <x:v>A</x:v>
      </x:c>
      <x:c r="B5" s="14" t="str">
        <x:v>Rise of AI 2027</x:v>
      </x:c>
      <x:c r="C5" s="14" t="str">
        <x:v>Берлин</x:v>
      </x:c>
      <x:c r="D5" s="60" t="n">
        <x:v>46519</x:v>
      </x:c>
      <x:c r="E5" s="60" t="n">
        <x:v>46519</x:v>
      </x:c>
      <x:c r="F5" s="14" t="str">
        <x:v>Открыт</x:v>
      </x:c>
      <x:c r="G5" s="60"/>
      <x:c r="H5" s="34" t="str">
        <x:f>IF(G5="","",G5-'Обзор'!$B$3)</x:f>
      </x:c>
      <x:c r="I5" s="14" t="str">
        <x:v>T2 / T3</x:v>
      </x:c>
      <x:c r="J5" s="42" t="str">
        <x:v>Не начато</x:v>
      </x:c>
      <x:c r="K5" s="14" t="str">
        <x:v>Подать через Speaker &amp; Expert Interest Form.</x:v>
      </x:c>
      <x:c r="L5" s="14" t="str">
        <x:v>Срок закрытия публично не указан. Applied AI Stage; руководители и специалисты по внедрению.</x:v>
      </x:c>
      <x:c r="M5" s="44" t="str">
        <x:v>https://riseof.ai/conference-2027/</x:v>
      </x:c>
      <x:c r="N5" s="44" t="str">
        <x:v>https://riseofai.fillout.com/speaker-interest</x:v>
      </x:c>
    </x:row>
    <x:row r="6" ht="112" customHeight="1">
      <x:c r="A6" s="14" t="str">
        <x:v>A</x:v>
      </x:c>
      <x:c r="B6" s="14" t="str">
        <x:v>GenAI Berlin 2026</x:v>
      </x:c>
      <x:c r="C6" s="14" t="str">
        <x:v>Берлин</x:v>
      </x:c>
      <x:c r="D6" s="60" t="n">
        <x:v>46310</x:v>
      </x:c>
      <x:c r="E6" s="60" t="n">
        <x:v>46311</x:v>
      </x:c>
      <x:c r="F6" s="14" t="str">
        <x:v>Страница заявки</x:v>
      </x:c>
      <x:c r="G6" s="60"/>
      <x:c r="H6" s="34" t="str">
        <x:f>IF(G6="","",G6-'Обзор'!$B$3)</x:f>
      </x:c>
      <x:c r="I6" s="14" t="str">
        <x:v>T3 / T2</x:v>
      </x:c>
      <x:c r="J6" s="42" t="str">
        <x:v>Не начато</x:v>
      </x:c>
      <x:c r="K6" s="14" t="str">
        <x:v>Обратиться сейчас; спросить о докладе, воркшопе или резервном слоте.</x:v>
      </x:c>
      <x:c r="L6" s="14" t="str">
        <x:v>Страница Become a Speaker есть; наличие слотов не подтверждено. 30.09 — дедлайн премии, не CFP.</x:v>
      </x:c>
      <x:c r="M6" s="44" t="str">
        <x:v>https://www.genaiberlin.com/</x:v>
      </x:c>
      <x:c r="N6" s="44" t="str">
        <x:v>https://www.genaiberlin.com/join/speaker</x:v>
      </x:c>
    </x:row>
    <x:row r="7" ht="112" customHeight="1">
      <x:c r="A7" s="14" t="str">
        <x:v>A</x:v>
      </x:c>
      <x:c r="B7" s="14" t="str">
        <x:v>TRANSFORM 2027</x:v>
      </x:c>
      <x:c r="C7" s="14" t="str">
        <x:v>Берлин</x:v>
      </x:c>
      <x:c r="D7" s="60" t="n">
        <x:v>46463</x:v>
      </x:c>
      <x:c r="E7" s="60" t="n">
        <x:v>46464</x:v>
      </x:c>
      <x:c r="F7" s="14" t="str">
        <x:v>Прямой запрос</x:v>
      </x:c>
      <x:c r="G7" s="60"/>
      <x:c r="H7" s="34" t="str">
        <x:f>IF(G7="","",G7-'Обзор'!$B$3)</x:f>
      </x:c>
      <x:c r="I7" s="14" t="str">
        <x:v>T3 / T2</x:v>
      </x:c>
      <x:c r="J7" s="42" t="str">
        <x:v>Не начато</x:v>
      </x:c>
      <x:c r="K7" s="14" t="str">
        <x:v>Написать программной команде: robin@transform.show.</x:v>
      </x:c>
      <x:c r="L7" s="14" t="str">
        <x:v>Открытый редакционный CFP не найден. Форма партнёрства — не заявка на бесплатный доклад.</x:v>
      </x:c>
      <x:c r="M7" s="44" t="str">
        <x:v>https://transform.show/</x:v>
      </x:c>
      <x:c r="N7" s="44" t="str">
        <x:v>https://transform.show/team</x:v>
      </x:c>
    </x:row>
    <x:row r="8" ht="112" customHeight="1">
      <x:c r="A8" s="14" t="str">
        <x:v>A</x:v>
      </x:c>
      <x:c r="B8" s="14" t="str">
        <x:v>AI.SUMMIT 2026</x:v>
      </x:c>
      <x:c r="C8" s="14" t="str">
        <x:v>Гамбург</x:v>
      </x:c>
      <x:c r="D8" s="60" t="n">
        <x:v>46350</x:v>
      </x:c>
      <x:c r="E8" s="60" t="n">
        <x:v>46350</x:v>
      </x:c>
      <x:c r="F8" s="14" t="str">
        <x:v>Прямой запрос</x:v>
      </x:c>
      <x:c r="G8" s="60"/>
      <x:c r="H8" s="34" t="str">
        <x:f>IF(G8="","",G8-'Обзор'!$B$3)</x:f>
      </x:c>
      <x:c r="I8" s="14" t="str">
        <x:v>T3 / T2</x:v>
      </x:c>
      <x:c r="J8" s="42" t="str">
        <x:v>Не начато</x:v>
      </x:c>
      <x:c r="K8" s="14" t="str">
        <x:v>Запросить у AI.HAMBURG редакционное выступление или masterclass.</x:v>
      </x:c>
      <x:c r="L8" s="14" t="str">
        <x:v>Открытый CFP не найден. Corporate Edition: внедрение AI и развитие компетенций.</x:v>
      </x:c>
      <x:c r="M8" s="44" t="str">
        <x:v>https://ai.hamburg/de/ai-summit-2026</x:v>
      </x:c>
      <x:c r="N8" s="44" t="str">
        <x:v>https://ai.hamburg/de/</x:v>
      </x:c>
    </x:row>
    <x:row r="9" ht="112" customHeight="1">
      <x:c r="A9" s="14" t="str">
        <x:v>A</x:v>
      </x:c>
      <x:c r="B9" s="14" t="str">
        <x:v>Big Data &amp; AI World 2027</x:v>
      </x:c>
      <x:c r="C9" s="14" t="str">
        <x:v>Франкфурт</x:v>
      </x:c>
      <x:c r="D9" s="60" t="n">
        <x:v>46526</x:v>
      </x:c>
      <x:c r="E9" s="60" t="n">
        <x:v>46527</x:v>
      </x:c>
      <x:c r="F9" s="14" t="str">
        <x:v>Открыт</x:v>
      </x:c>
      <x:c r="G9" s="60"/>
      <x:c r="H9" s="34" t="str">
        <x:f>IF(G9="","",G9-'Обзор'!$B$3)</x:f>
      </x:c>
      <x:c r="I9" s="14" t="str">
        <x:v>T2 / T3</x:v>
      </x:c>
      <x:c r="J9" s="42" t="str">
        <x:v>Не начато</x:v>
      </x:c>
      <x:c r="K9" s="14" t="str">
        <x:v>Подать через Call for Content; выбрать leadership или technical stream.</x:v>
      </x:c>
      <x:c r="L9" s="14" t="str">
        <x:v>Дедлайн не указан. Программа ищет практику, не sales pitch; свериться с Speaker Guide.</x:v>
      </x:c>
      <x:c r="M9" s="44" t="str">
        <x:v>https://www.techshowfrankfurt.de/big-data-ai-world-frankfurt-2027</x:v>
      </x:c>
      <x:c r="N9" s="44" t="str">
        <x:v>https://www.techshowfrankfurt.de/conference/call-content</x:v>
      </x:c>
    </x:row>
    <x:row r="10" ht="112" customHeight="1">
      <x:c r="A10" s="14" t="str">
        <x:v>B</x:v>
      </x:c>
      <x:c r="B10" s="14" t="str">
        <x:v>MLcon / AI Native Week 2026</x:v>
      </x:c>
      <x:c r="C10" s="14" t="str">
        <x:v>Берлин</x:v>
      </x:c>
      <x:c r="D10" s="60" t="n">
        <x:v>46342</x:v>
      </x:c>
      <x:c r="E10" s="60" t="n">
        <x:v>46346</x:v>
      </x:c>
      <x:c r="F10" s="14" t="str">
        <x:v>Прямой запрос</x:v>
      </x:c>
      <x:c r="G10" s="60"/>
      <x:c r="H10" s="34" t="str">
        <x:f>IF(G10="","",G10-'Обзор'!$B$3)</x:f>
      </x:c>
      <x:c r="I10" s="14" t="str">
        <x:v>T1 / T2</x:v>
      </x:c>
      <x:c r="J10" s="42" t="str">
        <x:v>Не начато</x:v>
      </x:c>
      <x:c r="K10" s="14" t="str">
        <x:v>Запросить поздний слот или воркшоп именно в Берлине.</x:v>
      </x:c>
      <x:c r="L10" s="14" t="str">
        <x:v>Основные дни 18–19.11. Найденная ссылка CFP ведёт на прошедший San Diego 2026, не Berlin.</x:v>
      </x:c>
      <x:c r="M10" s="44" t="str">
        <x:v>https://mlconference.ai/berlin/</x:v>
      </x:c>
      <x:c r="N10" s="44" t="str">
        <x:v>https://mlconference.ai/san-diego/call-for-papers-san-diego/</x:v>
      </x:c>
    </x:row>
    <x:row r="11" ht="112" customHeight="1">
      <x:c r="A11" s="14" t="str">
        <x:v>B</x:v>
      </x:c>
      <x:c r="B11" s="14" t="str">
        <x:v>Data Week Leipzig 2027</x:v>
      </x:c>
      <x:c r="C11" s="14" t="str">
        <x:v>Лейпциг</x:v>
      </x:c>
      <x:c r="D11" s="60" t="n">
        <x:v>46559</x:v>
      </x:c>
      <x:c r="E11" s="60" t="n">
        <x:v>46563</x:v>
      </x:c>
      <x:c r="F11" s="14" t="str">
        <x:v>Открыт</x:v>
      </x:c>
      <x:c r="G11" s="60" t="n">
        <x:v>46343</x:v>
      </x:c>
      <x:c r="H11" s="34" t="n">
        <x:f>IF(G11="","",G11-'Обзор'!$B$3)</x:f>
        <x:v>55</x:v>
      </x:c>
      <x:c r="I11" s="14" t="str">
        <x:v>T3 / T2</x:v>
      </x:c>
      <x:c r="J11" s="42" t="str">
        <x:v>Не начато</x:v>
      </x:c>
      <x:c r="K11" s="14" t="str">
        <x:v>PDF до 500 слов на dataweek@infai.org: формат, длительность, язык и план привлечения аудитории.</x:v>
      </x:c>
      <x:c r="L11" s="14" t="str">
        <x:v>Это заявка на своё мероприятие на полдня/день. Организатор сам оплачивает поездку и билет; аудитория не гарантируется.</x:v>
      </x:c>
      <x:c r="M11" s="44" t="str">
        <x:v>https://www.dataweek.de/en/</x:v>
      </x:c>
      <x:c r="N11" s="44" t="str">
        <x:v>https://www.dataweek.de/en/cfp.html</x:v>
      </x:c>
    </x:row>
    <x:row r="12" ht="112" customHeight="1">
      <x:c r="A12" s="14" t="str">
        <x:v>B</x:v>
      </x:c>
      <x:c r="B12" s="14" t="str">
        <x:v>Minds Mastering Machines</x:v>
      </x:c>
      <x:c r="C12" s="14" t="str">
        <x:v>Карлсруэ</x:v>
      </x:c>
      <x:c r="D12" s="60"/>
      <x:c r="E12" s="60"/>
      <x:c r="F12" s="14" t="str">
        <x:v>Уточнить даты</x:v>
      </x:c>
      <x:c r="G12" s="60" t="n">
        <x:v>46349</x:v>
      </x:c>
      <x:c r="H12" s="34" t="n">
        <x:f>IF(G12="","",G12-'Обзор'!$B$3)</x:f>
        <x:v>61</x:v>
      </x:c>
      <x:c r="I12" s="14" t="str">
        <x:v>T2 / T1</x:v>
      </x:c>
      <x:c r="J12" s="42" t="str">
        <x:v>Не начато</x:v>
      </x:c>
      <x:c r="K12" s="14" t="str">
        <x:v>Уточнить дату выпуска у events@dpunkt.de; подготовить заявку через CFP-форму.</x:v>
      </x:c>
      <x:c r="L12" s="14" t="str">
        <x:v>Форма и заголовок — 2027, дедлайн 23.11.2026; в тексте остаются даты события 22–23.04.2026.</x:v>
      </x:c>
      <x:c r="M12" s="44" t="str">
        <x:v>https://www.m3-konferenz.de/</x:v>
      </x:c>
      <x:c r="N12" s="44" t="str">
        <x:v>https://www.m3-konferenz.de/cfp_form.php?source=0</x:v>
      </x:c>
    </x:row>
    <x:row r="13" ht="112" customHeight="1">
      <x:c r="A13" s="14" t="str">
        <x:v>B</x:v>
      </x:c>
      <x:c r="B13" s="14" t="str">
        <x:v>WeAreDevelopers World Congress 2027</x:v>
      </x:c>
      <x:c r="C13" s="14" t="str">
        <x:v>Берлин</x:v>
      </x:c>
      <x:c r="D13" s="60" t="n">
        <x:v>46582</x:v>
      </x:c>
      <x:c r="E13" s="60" t="n">
        <x:v>46584</x:v>
      </x:c>
      <x:c r="F13" s="14" t="str">
        <x:v>Ждать CFP 2027</x:v>
      </x:c>
      <x:c r="G13" s="60"/>
      <x:c r="H13" s="34" t="str">
        <x:f>IF(G13="","",G13-'Обзор'!$B$3)</x:f>
      </x:c>
      <x:c r="I13" s="14" t="str">
        <x:v>T1</x:v>
      </x:c>
      <x:c r="J13" s="42" t="str">
        <x:v>Не начато</x:v>
      </x:c>
      <x:c r="K13" s="14" t="str">
        <x:v>Уточнить открытие набора 2027; не подавать по старой ссылке Sessionize.</x:v>
      </x:c>
      <x:c r="L13" s="14" t="str">
        <x:v>Страница CFP с шапкой 2027 ведёт на 2026; старый CFP закрылся 19.02.2026.</x:v>
      </x:c>
      <x:c r="M13" s="44" t="str">
        <x:v>https://www.wearedevelopers.com/world-congress</x:v>
      </x:c>
      <x:c r="N13" s="44" t="str">
        <x:v>https://www.wearedevelopers.com/world-congress/call-for-speakers</x:v>
      </x:c>
    </x:row>
    <x:row r="14" ht="112" customHeight="1">
      <x:c r="A14" s="14" t="str">
        <x:v>A</x:v>
      </x:c>
      <x:c r="B14" s="14" t="str">
        <x:v>AIDAQ — следующий выпуск</x:v>
      </x:c>
      <x:c r="C14" s="14" t="str">
        <x:v>Берлин</x:v>
      </x:c>
      <x:c r="D14" s="60"/>
      <x:c r="E14" s="60"/>
      <x:c r="F14" s="14" t="str">
        <x:v>Ждать CFP 2027</x:v>
      </x:c>
      <x:c r="G14" s="60"/>
      <x:c r="H14" s="34" t="str">
        <x:f>IF(G14="","",G14-'Обзор'!$B$3)</x:f>
      </x:c>
      <x:c r="I14" s="14" t="str">
        <x:v>T2 / T3</x:v>
      </x:c>
      <x:c r="J14" s="42" t="str">
        <x:v>Не начато</x:v>
      </x:c>
      <x:c r="K14" s="14" t="str">
        <x:v>Написать организаторам после посещения AIDAQ26 и предложить тему следующего выпуска.</x:v>
      </x:c>
      <x:c r="L14" s="14" t="str">
        <x:v>Подтверждён AIDAQ26: 22–23.09.2026, bcc Berlin. Даты и CFP 2027 не подтверждены.</x:v>
      </x:c>
      <x:c r="M14" s="44" t="str">
        <x:v>https://aidaq.berlin/</x:v>
      </x:c>
      <x:c r="N14" s="44" t="str">
        <x:v>https://aidaq.berlin/</x:v>
      </x:c>
    </x:row>
    <x:row r="15" ht="112" customHeight="1">
      <x:c r="A15" s="14" t="str">
        <x:v>B</x:v>
      </x:c>
      <x:c r="B15" s="14" t="str">
        <x:v>GITEX AI Europe — следующий выпуск</x:v>
      </x:c>
      <x:c r="C15" s="14" t="str">
        <x:v>Берлин</x:v>
      </x:c>
      <x:c r="D15" s="60"/>
      <x:c r="E15" s="60"/>
      <x:c r="F15" s="14" t="str">
        <x:v>Ждать CFP 2027</x:v>
      </x:c>
      <x:c r="G15" s="60"/>
      <x:c r="H15" s="34" t="str">
        <x:f>IF(G15="","",G15-'Обзор'!$B$3)</x:f>
      </x:c>
      <x:c r="I15" s="14" t="str">
        <x:v>T3 / T2</x:v>
      </x:c>
      <x:c r="J15" s="42" t="str">
        <x:v>Не начато</x:v>
      </x:c>
      <x:c r="K15" s="14" t="str">
        <x:v>Уточнить редакционный набор следующего берлинского выпуска.</x:v>
      </x:c>
      <x:c r="L15" s="14" t="str">
        <x:v>На официальном сайте всё ещё 30.06–01.07.2026. Другие даты глобальной серии не относятся к Берлину.</x:v>
      </x:c>
      <x:c r="M15" s="44" t="str">
        <x:v>https://www.gitexeurope.com/</x:v>
      </x:c>
      <x:c r="N15" s="44" t="str">
        <x:v>https://www.gitexeurope.com/</x:v>
      </x:c>
    </x:row>
    <x:row r="16" ht="112" customHeight="1">
      <x:c r="A16" s="14" t="str">
        <x:v>B</x:v>
      </x:c>
      <x:c r="B16" s="14" t="str">
        <x:v>Berlin Buzzwords — следующий выпуск</x:v>
      </x:c>
      <x:c r="C16" s="14" t="str">
        <x:v>Берлин</x:v>
      </x:c>
      <x:c r="D16" s="60"/>
      <x:c r="E16" s="60"/>
      <x:c r="F16" s="14" t="str">
        <x:v>Ждать CFP 2027</x:v>
      </x:c>
      <x:c r="G16" s="60"/>
      <x:c r="H16" s="34" t="str">
        <x:f>IF(G16="","",G16-'Обзор'!$B$3)</x:f>
      </x:c>
      <x:c r="I16" s="14" t="str">
        <x:v>T2</x:v>
      </x:c>
      <x:c r="J16" s="42" t="str">
        <x:v>Не начато</x:v>
      </x:c>
      <x:c r="K16" s="14" t="str">
        <x:v>Следить за новым CFP; контакт спикеров: speaker@berlinbuzzwords.de.</x:v>
      </x:c>
      <x:c r="L16" s="14" t="str">
        <x:v>CFP 2026 закрыт. Темы: поиск, data/AI, MLOps. Рекламные доклады запрещены.</x:v>
      </x:c>
      <x:c r="M16" s="44" t="str">
        <x:v>https://2026.berlinbuzzwords.de/</x:v>
      </x:c>
      <x:c r="N16" s="44" t="str">
        <x:v>https://2026.berlinbuzzwords.de/call-for-papers/</x:v>
      </x:c>
    </x:row>
    <x:row r="17" ht="112" customHeight="1">
      <x:c r="A17" s="14" t="str">
        <x:v>B</x:v>
      </x:c>
      <x:c r="B17" s="14" t="str">
        <x:v>data:unplugged 2027</x:v>
      </x:c>
      <x:c r="C17" s="14" t="str">
        <x:v>Мюнстер</x:v>
      </x:c>
      <x:c r="D17" s="60" t="n">
        <x:v>46490</x:v>
      </x:c>
      <x:c r="E17" s="60" t="n">
        <x:v>46491</x:v>
      </x:c>
      <x:c r="F17" s="14" t="str">
        <x:v>Прямой запрос</x:v>
      </x:c>
      <x:c r="G17" s="60"/>
      <x:c r="H17" s="34" t="str">
        <x:f>IF(G17="","",G17-'Обзор'!$B$3)</x:f>
      </x:c>
      <x:c r="I17" s="14" t="str">
        <x:v>T3 / T2</x:v>
      </x:c>
      <x:c r="J17" s="42" t="str">
        <x:v>Не начато</x:v>
      </x:c>
      <x:c r="K17" s="14" t="str">
        <x:v>Обратиться в программную команду через общий контакт; спросить про редакционное выступление.</x:v>
      </x:c>
      <x:c r="L17" s="14" t="str">
        <x:v>Открытый CFP не подтверждён. Берлинский d:u Deep Dive 11.06.2026 уже прошёл.</x:v>
      </x:c>
      <x:c r="M17" s="44" t="str">
        <x:v>https://www.data-unplugged.de/en</x:v>
      </x:c>
      <x:c r="N17" s="44" t="str">
        <x:v>https://www.data-unplugged.de/en/festival/deep-dive</x:v>
      </x:c>
    </x:row>
    <x:row r="18" ht="112" customHeight="1">
      <x:c r="A18" s="14" t="str">
        <x:v>C</x:v>
      </x:c>
      <x:c r="B18" s="14" t="str">
        <x:v>NVIDIA GTC Berlin 2026</x:v>
      </x:c>
      <x:c r="C18" s="14" t="str">
        <x:v>Берлин</x:v>
      </x:c>
      <x:c r="D18" s="60" t="n">
        <x:v>46315</x:v>
      </x:c>
      <x:c r="E18" s="60" t="n">
        <x:v>46317</x:v>
      </x:c>
      <x:c r="F18" s="14" t="str">
        <x:v>CFP не найден</x:v>
      </x:c>
      <x:c r="G18" s="60"/>
      <x:c r="H18" s="34" t="str">
        <x:f>IF(G18="","",G18-'Обзор'!$B$3)</x:f>
      </x:c>
      <x:c r="I18" s="14" t="str">
        <x:v>T2</x:v>
      </x:c>
      <x:c r="J18" s="42" t="str">
        <x:v>Не начато</x:v>
      </x:c>
      <x:c r="K18" s="14" t="str">
        <x:v>Рассматривать как дополнительную площадку; сначала проверить путь в программу.</x:v>
      </x:c>
      <x:c r="L18" s="14" t="str">
        <x:v>Не считать текущим открытым CFP. Технологическая экосистема NVIDIA; низкий приоритет для холодной заявки.</x:v>
      </x:c>
      <x:c r="M18" s="44" t="str">
        <x:v>https://www.nvidia.com/en-eu/gtc/</x:v>
      </x:c>
      <x:c r="N18" s="44" t="str">
        <x:v>https://www.nvidia.com/en-eu/gtc/</x:v>
      </x:c>
    </x:row>
  </x:sheetData>
  <x:mergeCells>
    <x:mergeCell ref="A1:N1"/>
    <x:mergeCell ref="A2:N2"/>
  </x:mergeCells>
  <x:conditionalFormatting sqref="F5:F18">
    <x:cfRule type="expression" dxfId="0" priority="1">
      <x:formula>F5="Открыт"</x:formula>
    </x:cfRule>
    <x:cfRule type="expression" dxfId="1" priority="2">
      <x:formula>F5="Уточнить даты"</x:formula>
    </x:cfRule>
  </x:conditionalFormatting>
  <x:conditionalFormatting sqref="J5:J18">
    <x:cfRule type="expression" dxfId="2" priority="3">
      <x:formula>J5="Принято"</x:formula>
    </x:cfRule>
    <x:cfRule type="expression" dxfId="3" priority="4">
      <x:formula>J5="Отправлено"</x:formula>
    </x:cfRule>
  </x:conditionalFormatting>
  <x:dataValidations count="2">
    <x:dataValidation type="list" sqref="J5:J18">
      <x:formula1>"Не начато,Готовлю заявку,Отправлено,Уточняю,Принято,Отказ,Пропускаю"</x:formula1>
    </x:dataValidation>
    <x:dataValidation type="list" sqref="A5:A18">
      <x:formula1>"A,B,C"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633dd6165747c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4" hidden="0" customWidth="1"/>
    <x:col min="3" max="3" width="27" hidden="0" customWidth="1"/>
    <x:col min="4" max="4" width="40" hidden="0" customWidth="1"/>
    <x:col min="5" max="5" width="39" hidden="0" customWidth="1"/>
    <x:col min="6" max="6" width="28" hidden="0" customWidth="1"/>
    <x:col min="7" max="7" width="30" hidden="0" customWidth="1"/>
    <x:col min="8" max="8" width="40" hidden="0" customWidth="1"/>
  </x:cols>
  <x:sheetData>
    <x:row r="1" ht="36" customHeight="1">
      <x:c r="A1" s="20" t="str">
        <x:v>ТРИ ДОКЛАДА • ТРИ ПОНЯТНЫХ КОРПОРАТИВНЫХ ЗАПРОСА</x:v>
      </x:c>
      <x:c r="B1" s="20"/>
      <x:c r="C1" s="20"/>
      <x:c r="D1" s="20"/>
      <x:c r="E1" s="20"/>
      <x:c r="F1" s="20"/>
      <x:c r="G1" s="20"/>
      <x:c r="H1" s="20"/>
    </x:row>
    <x:row r="2" ht="32" customHeight="1">
      <x:c r="A2" s="26" t="str">
        <x:v>Черновики тем. Длительность и язык необходимо адаптировать под правила конкретного события.</x:v>
      </x:c>
      <x:c r="B2" s="26"/>
      <x:c r="C2" s="26"/>
      <x:c r="D2" s="26"/>
      <x:c r="E2" s="26"/>
      <x:c r="F2" s="26"/>
      <x:c r="G2" s="26"/>
      <x:c r="H2" s="26"/>
    </x:row>
    <x:row r="3">
      <x:c r="A3" s="14"/>
      <x:c r="B3" s="14"/>
      <x:c r="C3" s="14"/>
      <x:c r="D3" s="14"/>
      <x:c r="E3" s="14"/>
      <x:c r="F3" s="14"/>
      <x:c r="G3" s="14"/>
      <x:c r="H3" s="14"/>
    </x:row>
    <x:row r="4" ht="36" customHeight="1">
      <x:c r="A4" s="38" t="str">
        <x:v>ID</x:v>
      </x:c>
      <x:c r="B4" s="38" t="str">
        <x:v>Название для заявки</x:v>
      </x:c>
      <x:c r="C4" s="38" t="str">
        <x:v>Кому полезно</x:v>
      </x:c>
      <x:c r="D4" s="38" t="str">
        <x:v>Что показать</x:v>
      </x:c>
      <x:c r="E4" s="38" t="str">
        <x:v>Практический результат</x:v>
      </x:c>
      <x:c r="F4" s="38" t="str">
        <x:v>Формат</x:v>
      </x:c>
      <x:c r="G4" s="38" t="str">
        <x:v>Площадки</x:v>
      </x:c>
      <x:c r="H4" s="38" t="str">
        <x:v>Естественный следующий проект</x:v>
      </x:c>
    </x:row>
    <x:row r="5" ht="170" customHeight="1">
      <x:c r="A5" s="14" t="str">
        <x:v>T1</x:v>
      </x:c>
      <x:c r="B5" s="14" t="str">
        <x:v>Coding Agents Without Losing Engineering Discipline</x:v>
      </x:c>
      <x:c r="C5" s="14" t="str">
        <x:v>Разработчики, тимлиды, руководители разработки</x:v>
      </x:c>
      <x:c r="D5" s="14" t="str">
        <x:v>Одна задача в репозитории: постановка → план → изменения → тесты → review → CI. Показать ошибку агента и контрольные точки.</x:v>
      </x:c>
      <x:c r="E5" s="14" t="str">
        <x:v>Шаблон рабочего процесса и критерии оценки: время выполнения, доработки, нагрузка review, дефекты.</x:v>
      </x:c>
      <x:c r="F5" s="14" t="str">
        <x:v>Доклад 30–40 мин; практикум 90–180 мин, если формат допускается.</x:v>
      </x:c>
      <x:c r="G5" s="14" t="str">
        <x:v>MLcon, WeAreDevelopers; M3 при подходящем треке.</x:v>
      </x:c>
      <x:c r="H5" s="14" t="str">
        <x:v>Внедрение coding agents в команде: диагностика, пилот на её репозитории, обучение и правила работы.</x:v>
      </x:c>
    </x:row>
    <x:row r="6" ht="170" customHeight="1">
      <x:c r="A6" s="14" t="str">
        <x:v>T2</x:v>
      </x:c>
      <x:c r="B6" s="14" t="str">
        <x:v>From RAG Demo to Production: The Skills Your Team Is Missing</x:v>
      </x:c>
      <x:c r="C6" s="14" t="str">
        <x:v>Руководители AI/Data, AI-инженеры, лиды платформ</x:v>
      </x:c>
      <x:c r="D6" s="14" t="str">
        <x:v>Рабочий пример RAG/агента: набор проверок, ошибки retrieval и действий, стоимость, задержки, мониторинг, ответственность.</x:v>
      </x:c>
      <x:c r="E6" s="14" t="str">
        <x:v>Карта компетенций и критерии готовности системы/команды; обучение на реальном проекте вместо обзора инструментов.</x:v>
      </x:c>
      <x:c r="F6" s="14" t="str">
        <x:v>Доклад 30–40 мин; технический воркшоп; для M3 возможен целый день.</x:v>
      </x:c>
      <x:c r="G6" s="14" t="str">
        <x:v>Rise of AI, Big Data &amp; AI World, MLcon, M3, AIDAQ, Berlin Buzzwords.</x:v>
      </x:c>
      <x:c r="H6" s="14" t="str">
        <x:v>Корпоративная программа AI Engineering: учебный проект, архитектурные разборы и поддержка запуска.</x:v>
      </x:c>
    </x:row>
    <x:row r="7" ht="170" customHeight="1">
      <x:c r="A7" s="14" t="str">
        <x:v>T3</x:v>
      </x:c>
      <x:c r="B7" s="14" t="str">
        <x:v>Which Business Workflow Should You Automate First?</x:v>
      </x:c>
      <x:c r="C7" s="14" t="str">
        <x:v>Операционные руководители, владельцы процессов, руководители цифровизации</x:v>
      </x:c>
      <x:c r="D7" s="14" t="str">
        <x:v>На понятном процессе оценить объём работы, время, ошибки, доступность данных, ручную проверку и цену эксплуатации. Сравнить AI, обычную автоматизацию и отказ от автоматизации.</x:v>
      </x:c>
      <x:c r="E7" s="14" t="str">
        <x:v>Таблица отбора процессов, план ограниченного пилота и критерии измерения эффекта. Демо отмечать как демо, не клиентский кейс.</x:v>
      </x:c>
      <x:c r="F7" s="14" t="str">
        <x:v>Доклад 25–35 мин; сессия разбора процессов или практикум.</x:v>
      </x:c>
      <x:c r="G7" s="14" t="str">
        <x:v>GenAI Berlin, TRANSFORM, AI.SUMMIT Hamburg, Rise of AI, Frankfurt, data:unplugged, Data Week.</x:v>
      </x:c>
      <x:c r="H7" s="14" t="str">
        <x:v>Диагностика процесса → ограниченный пилот → интеграция и обучение команды, которая будет владеть решением.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0966275bb1e4beb"/>
  </x:tableParts>
</x:worksheet>
</file>